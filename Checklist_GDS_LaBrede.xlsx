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Membres" sheetId="2" state="visible" r:id="rId4"/>
    <sheet name="Tâches" sheetId="3" state="visible" r:id="rId5"/>
  </sheets>
  <definedNames>
    <definedName function="false" hidden="false" localSheetId="0" name="_xlnm.Print_Area" vbProcedure="false">Checklist!$A$1:$I$43</definedName>
  </definedNames>
  <calcPr iterateCount="1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<sst xmlns="http://schemas.openxmlformats.org/spreadsheetml/2006/main" count="273" uniqueCount="140">
  <si>
    <t xml:space="preserve">CHECKLIST GDS</t>
  </si>
  <si>
    <t xml:space="preserve">ID Logistics - Site de La Brède</t>
  </si>
  <si>
    <t xml:space="preserve">Mise à jour faite le :</t>
  </si>
  <si>
    <t xml:space="preserve">Version v1.0</t>
  </si>
  <si>
    <t xml:space="preserve">Équipe GDS gérée par GIRAUDO Maxime - Responsable de service et PAYEN Patrick - Chef d'équipe</t>
  </si>
  <si>
    <t xml:space="preserve">N°</t>
  </si>
  <si>
    <t xml:space="preserve">Tâche</t>
  </si>
  <si>
    <t xml:space="preserve">Périodicité</t>
  </si>
  <si>
    <t xml:space="preserve">Titulaire</t>
  </si>
  <si>
    <t xml:space="preserve">Poste</t>
  </si>
  <si>
    <t xml:space="preserve">Suppléant 1</t>
  </si>
  <si>
    <t xml:space="preserve">Suppléant 2</t>
  </si>
  <si>
    <t xml:space="preserve">Outil</t>
  </si>
  <si>
    <t xml:space="preserve">Particularité</t>
  </si>
  <si>
    <t xml:space="preserve">Si Alerte</t>
  </si>
  <si>
    <t xml:space="preserve">PAYEN Patrick</t>
  </si>
  <si>
    <t xml:space="preserve">GIRAUDO Maxime</t>
  </si>
  <si>
    <t xml:space="preserve">MOUMPOSSA Leuveth Bonnel</t>
  </si>
  <si>
    <t xml:space="preserve">COALA</t>
  </si>
  <si>
    <t xml:space="preserve">Si Retour</t>
  </si>
  <si>
    <t xml:space="preserve">BARES Jérôme</t>
  </si>
  <si>
    <t xml:space="preserve">DEBAT Cédric</t>
  </si>
  <si>
    <t xml:space="preserve">TC</t>
  </si>
  <si>
    <t xml:space="preserve">Quotidien</t>
  </si>
  <si>
    <t xml:space="preserve">LAFFRAY Mathieu</t>
  </si>
  <si>
    <t xml:space="preserve">PRINCE Marie Laurence</t>
  </si>
  <si>
    <t xml:space="preserve">RIVIERE Thibaut</t>
  </si>
  <si>
    <t xml:space="preserve">En Binôme avec le Client</t>
  </si>
  <si>
    <t xml:space="preserve">COULIBALY Nafissatou</t>
  </si>
  <si>
    <t xml:space="preserve">BOURGEOIS LIOTARD Elisabeth</t>
  </si>
  <si>
    <t xml:space="preserve">Application Inventaire</t>
  </si>
  <si>
    <t xml:space="preserve">Application Gestion des DLC</t>
  </si>
  <si>
    <t xml:space="preserve">Mail de ramassage le Mercredi</t>
  </si>
  <si>
    <t xml:space="preserve">1 fois / semaine</t>
  </si>
  <si>
    <t xml:space="preserve">TOUS</t>
  </si>
  <si>
    <t xml:space="preserve">Frais et Ambiant</t>
  </si>
  <si>
    <t xml:space="preserve">Application Taux d'occupation</t>
  </si>
  <si>
    <t xml:space="preserve">Si Litiges-8</t>
  </si>
  <si>
    <t xml:space="preserve">SUAIRE Christophe</t>
  </si>
  <si>
    <t xml:space="preserve">BAMBA Mohamed</t>
  </si>
  <si>
    <t xml:space="preserve">Sauf inventoristes F&amp;L</t>
  </si>
  <si>
    <t xml:space="preserve">tous les deux jours</t>
  </si>
  <si>
    <t xml:space="preserve">Juste après la réception par deux personnes attribuées à la Marée</t>
  </si>
  <si>
    <t xml:space="preserve">Planning</t>
  </si>
  <si>
    <t xml:space="preserve">OBACH Océane</t>
  </si>
  <si>
    <t xml:space="preserve">BOUTINEAUD Lucas</t>
  </si>
  <si>
    <t xml:space="preserve">BOHIN Nicolas</t>
  </si>
  <si>
    <t xml:space="preserve">COURILLON Jean-Michel</t>
  </si>
  <si>
    <t xml:space="preserve">Application Ruptures</t>
  </si>
  <si>
    <t xml:space="preserve">Réception en Mise en Stock</t>
  </si>
  <si>
    <t xml:space="preserve">Application BBD</t>
  </si>
  <si>
    <t xml:space="preserve">Si demande client</t>
  </si>
  <si>
    <t xml:space="preserve">Mail client</t>
  </si>
  <si>
    <t xml:space="preserve">Application GEGC</t>
  </si>
  <si>
    <t xml:space="preserve">LENESTOUR Riki</t>
  </si>
  <si>
    <t xml:space="preserve">PC</t>
  </si>
  <si>
    <t xml:space="preserve">Application Team-email-manager</t>
  </si>
  <si>
    <t xml:space="preserve">Validé par le directeur de site :</t>
  </si>
  <si>
    <t xml:space="preserve">Date :</t>
  </si>
  <si>
    <t xml:space="preserve">Signature :</t>
  </si>
  <si>
    <t xml:space="preserve">LISTE DES MEMBRES DE L'ÉQUIPE GDS</t>
  </si>
  <si>
    <t xml:space="preserve">Nom</t>
  </si>
  <si>
    <t xml:space="preserve">Prénom</t>
  </si>
  <si>
    <t xml:space="preserve">Secteur</t>
  </si>
  <si>
    <t xml:space="preserve">GIRAUDO</t>
  </si>
  <si>
    <t xml:space="preserve">Maxime</t>
  </si>
  <si>
    <t xml:space="preserve">Responsable du service GDS</t>
  </si>
  <si>
    <t xml:space="preserve">PAYEN</t>
  </si>
  <si>
    <t xml:space="preserve">Patrick</t>
  </si>
  <si>
    <t xml:space="preserve">Chef d'équipe GDS</t>
  </si>
  <si>
    <t xml:space="preserve">BAMBA</t>
  </si>
  <si>
    <t xml:space="preserve">Mohamed</t>
  </si>
  <si>
    <t xml:space="preserve">Inventoriste/Cariste</t>
  </si>
  <si>
    <t xml:space="preserve">BARES</t>
  </si>
  <si>
    <t xml:space="preserve">Jérôme</t>
  </si>
  <si>
    <t xml:space="preserve">Inventoriste</t>
  </si>
  <si>
    <t xml:space="preserve">BOHIN</t>
  </si>
  <si>
    <t xml:space="preserve">Nicolas</t>
  </si>
  <si>
    <t xml:space="preserve">BOURGEOIS LIOTARD</t>
  </si>
  <si>
    <t xml:space="preserve">Elisabeth</t>
  </si>
  <si>
    <t xml:space="preserve">BOUTINEAUD</t>
  </si>
  <si>
    <t xml:space="preserve">Lucas</t>
  </si>
  <si>
    <t xml:space="preserve">Surgelé</t>
  </si>
  <si>
    <t xml:space="preserve">COULIBALY</t>
  </si>
  <si>
    <t xml:space="preserve">Nafissatou</t>
  </si>
  <si>
    <t xml:space="preserve">Admin</t>
  </si>
  <si>
    <t xml:space="preserve">COURILLON</t>
  </si>
  <si>
    <t xml:space="preserve">Jean-Michel</t>
  </si>
  <si>
    <t xml:space="preserve">DEBAT</t>
  </si>
  <si>
    <t xml:space="preserve">Cédric</t>
  </si>
  <si>
    <t xml:space="preserve">LAFFRAY</t>
  </si>
  <si>
    <t xml:space="preserve">Mathieu</t>
  </si>
  <si>
    <t xml:space="preserve">LENESTOUR</t>
  </si>
  <si>
    <t xml:space="preserve">Riki</t>
  </si>
  <si>
    <t xml:space="preserve">MASMOUA</t>
  </si>
  <si>
    <t xml:space="preserve">Mehdi</t>
  </si>
  <si>
    <t xml:space="preserve">MASMOUA Mehdi</t>
  </si>
  <si>
    <t xml:space="preserve">MOUMPOSSA</t>
  </si>
  <si>
    <t xml:space="preserve">Leuveth Bonnel</t>
  </si>
  <si>
    <t xml:space="preserve">OBACH</t>
  </si>
  <si>
    <t xml:space="preserve">Océane</t>
  </si>
  <si>
    <t xml:space="preserve">PRINCE</t>
  </si>
  <si>
    <t xml:space="preserve">Marie Laurence</t>
  </si>
  <si>
    <t xml:space="preserve">RIVIERE</t>
  </si>
  <si>
    <t xml:space="preserve">Thibaut</t>
  </si>
  <si>
    <t xml:space="preserve">SUAIRE</t>
  </si>
  <si>
    <t xml:space="preserve">Christophe</t>
  </si>
  <si>
    <t xml:space="preserve">LISTE DES TÂCHES GDS</t>
  </si>
  <si>
    <t xml:space="preserve">Alerte et Retrait</t>
  </si>
  <si>
    <t xml:space="preserve">Retour Client</t>
  </si>
  <si>
    <t xml:space="preserve">Charte Fraîcheur Fruits &amp; Légumes</t>
  </si>
  <si>
    <t xml:space="preserve">Analyses des manquants</t>
  </si>
  <si>
    <t xml:space="preserve">Suivi comptage</t>
  </si>
  <si>
    <t xml:space="preserve">Gestion des DLC</t>
  </si>
  <si>
    <t xml:space="preserve">Traitement de déchets</t>
  </si>
  <si>
    <t xml:space="preserve">Vides / Pleins</t>
  </si>
  <si>
    <t xml:space="preserve">Taux d'occupation</t>
  </si>
  <si>
    <t xml:space="preserve">Traitement des Litiges-8</t>
  </si>
  <si>
    <t xml:space="preserve">Suivi du Stock Dormant</t>
  </si>
  <si>
    <t xml:space="preserve">Inventaire Alcool</t>
  </si>
  <si>
    <t xml:space="preserve">Inventaire Boucherie</t>
  </si>
  <si>
    <t xml:space="preserve">Inventaire Charcuterie</t>
  </si>
  <si>
    <t xml:space="preserve">Inventaire La Marée</t>
  </si>
  <si>
    <t xml:space="preserve">Inventaire autres GA</t>
  </si>
  <si>
    <t xml:space="preserve">Inventaire zone de Masse</t>
  </si>
  <si>
    <t xml:space="preserve">Inventaire zone Sugelé</t>
  </si>
  <si>
    <t xml:space="preserve">Gestion des consommables</t>
  </si>
  <si>
    <t xml:space="preserve">Inventaire &lt;1 Anticipation ruptures</t>
  </si>
  <si>
    <t xml:space="preserve">Optimisation DLC Frais</t>
  </si>
  <si>
    <t xml:space="preserve">Optimisation Picking et Réserve Ambiant/Frais</t>
  </si>
  <si>
    <t xml:space="preserve">Optimisation Picking et Réserve Surgelé</t>
  </si>
  <si>
    <t xml:space="preserve">Transferts de marchandises</t>
  </si>
  <si>
    <t xml:space="preserve">Déphasage Mdépot MMS</t>
  </si>
  <si>
    <t xml:space="preserve">Contrôle des détrompeurs</t>
  </si>
  <si>
    <t xml:space="preserve">Entretien des QR CODE</t>
  </si>
  <si>
    <t xml:space="preserve">Facing DLC</t>
  </si>
  <si>
    <t xml:space="preserve">Saisie des inventaires</t>
  </si>
  <si>
    <t xml:space="preserve">Synthèse de fin de journée</t>
  </si>
  <si>
    <t xml:space="preserve">Traitement des Cross Dock au Picking</t>
  </si>
  <si>
    <t xml:space="preserve">Contrôle des Cross Dock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</si>
</sst>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B3668"/>
      <name val="Arial Black"/>
      <family val="2"/>
      <charset val="1"/>
    </font>
    <font>
      <b val="true"/>
      <i val="true"/>
      <sz val="14"/>
      <color rgb="FFE31B23"/>
      <name val="Arial"/>
      <family val="2"/>
      <charset val="1"/>
    </font>
    <font>
      <b val="true"/>
      <sz val="11"/>
      <color rgb="FF1B3668"/>
      <name val="Arial"/>
      <family val="2"/>
      <charset val="1"/>
    </font>
    <font>
      <sz val="11"/>
      <color rgb="FF1B3668"/>
      <name val="Arial"/>
      <family val="2"/>
      <charset val="1"/>
    </font>
    <font>
      <b val="true"/>
      <sz val="11"/>
      <color rgb="FFE31B23"/>
      <name val="Arial"/>
      <family val="2"/>
      <charset val="1"/>
    </font>
    <font>
      <b val="true"/>
      <sz val="12"/>
      <color rgb="FFE31B23"/>
      <name val="Arial"/>
      <family val="2"/>
      <charset val="1"/>
    </font>
    <font>
      <b val="true"/>
      <i val="true"/>
      <sz val="14"/>
      <color rgb="FF1B3668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1B3668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2E7D32"/>
      <name val="Arial"/>
      <family val="2"/>
      <charset val="1"/>
    </font>
    <font>
      <b val="true"/>
      <sz val="10"/>
      <color rgb="FF0D47A1"/>
      <name val="Calibri"/>
      <family val="2"/>
      <charset val="1"/>
    </font>
    <font>
      <i val="true"/>
      <sz val="10"/>
      <color rgb="FF4A4A4A"/>
      <name val="Calibri"/>
      <family val="2"/>
      <charset val="1"/>
    </font>
    <font>
      <i val="true"/>
      <sz val="10"/>
      <color rgb="FF4A4A4A"/>
      <name val="Arial"/>
      <family val="2"/>
      <charset val="1"/>
    </font>
    <font>
      <b val="true"/>
      <sz val="11"/>
      <color rgb="FF1B3668"/>
      <name val="Arial"/>
      <family val="0"/>
      <charset val="1"/>
    </font>
    <font>
      <b val="true"/>
      <sz val="12"/>
      <color rgb="FF1B3668"/>
      <name val="Arial"/>
      <family val="2"/>
      <charset val="1"/>
    </font>
    <font>
      <b val="true"/>
      <sz val="20"/>
      <color rgb="FF1B3668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B3668"/>
        <bgColor rgb="FF0D47A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3668"/>
      </left>
      <right style="thin">
        <color rgb="FF1B3668"/>
      </right>
      <top style="thin">
        <color rgb="FF1B3668"/>
      </top>
      <bottom style="thin">
        <color rgb="FF1B3668"/>
      </bottom>
      <diagonal/>
    </border>
    <border diagonalUp="false" diagonalDown="false">
      <left/>
      <right/>
      <top/>
      <bottom style="medium">
        <color rgb="FF1B366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31B2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68"/>
      <rgbColor rgb="FF2E7D32"/>
      <rgbColor rgb="FF003300"/>
      <rgbColor rgb="FF333300"/>
      <rgbColor rgb="FF993300"/>
      <rgbColor rgb="FF993366"/>
      <rgbColor rgb="FF0D47A1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146160</xdr:rowOff>
    </xdr:from>
    <xdr:to>
      <xdr:col>1</xdr:col>
      <xdr:colOff>1193400</xdr:colOff>
      <xdr:row>2</xdr:row>
      <xdr:rowOff>193320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52440" y="146160"/>
          <a:ext cx="1193400" cy="76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469800</xdr:colOff>
      <xdr:row>0</xdr:row>
      <xdr:rowOff>50760</xdr:rowOff>
    </xdr:from>
    <xdr:to>
      <xdr:col>8</xdr:col>
      <xdr:colOff>1555200</xdr:colOff>
      <xdr:row>3</xdr:row>
      <xdr:rowOff>6120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3931640" y="50760"/>
          <a:ext cx="1085400" cy="917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45" activeCellId="0" sqref="B4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7.36"/>
    <col collapsed="false" customWidth="true" hidden="false" outlineLevel="0" max="6" min="4" style="0" width="24"/>
    <col collapsed="false" customWidth="true" hidden="false" outlineLevel="0" max="7" min="7" style="0" width="24.63"/>
    <col collapsed="false" customWidth="true" hidden="false" outlineLevel="0" max="8" min="8" style="0" width="30"/>
    <col collapsed="false" customWidth="true" hidden="false" outlineLevel="0" max="9" min="9" style="0" width="25"/>
  </cols>
  <sheetData>
    <row r="1" customFormat="false" ht="34.5" hidden="false" customHeight="true" outlineLevel="0" collapsed="false">
      <c r="C1" s="1" t="s">
        <v>0</v>
      </c>
      <c r="D1" s="1"/>
      <c r="E1" s="1"/>
      <c r="F1" s="1"/>
      <c r="G1" s="1"/>
      <c r="H1" s="1"/>
    </row>
    <row r="2" customFormat="false" ht="21.75" hidden="false" customHeight="true" outlineLevel="0" collapsed="false">
      <c r="C2" s="2" t="s">
        <v>1</v>
      </c>
      <c r="D2" s="2"/>
      <c r="E2" s="2"/>
      <c r="F2" s="2"/>
      <c r="G2" s="2"/>
      <c r="H2" s="2"/>
    </row>
    <row r="3" customFormat="false" ht="19.5" hidden="false" customHeight="true" outlineLevel="0" collapsed="false">
      <c r="C3" s="3" t="s">
        <v>2</v>
      </c>
      <c r="D3" s="3"/>
      <c r="E3" s="3"/>
      <c r="F3" s="4"/>
      <c r="G3" s="5"/>
      <c r="H3" s="6" t="s">
        <v>3</v>
      </c>
    </row>
    <row r="4" customFormat="false" ht="7.5" hidden="false" customHeight="true" outlineLevel="0" collapsed="false"/>
    <row r="5" customFormat="false" ht="34.5" hidden="false" customHeight="true" outlineLevel="0" collapsed="false">
      <c r="A5" s="7" t="s">
        <v>4</v>
      </c>
      <c r="B5" s="7"/>
      <c r="C5" s="7"/>
      <c r="D5" s="7"/>
      <c r="E5" s="7"/>
      <c r="F5" s="7"/>
      <c r="G5" s="7"/>
      <c r="H5" s="7"/>
      <c r="I5" s="7"/>
    </row>
    <row r="6" customFormat="false" ht="7.5" hidden="false" customHeight="true" outlineLevel="0" collapsed="false"/>
    <row r="7" customFormat="false" ht="30" hidden="false" customHeight="true" outlineLevel="0" collapsed="false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</row>
    <row r="8" customFormat="false" ht="24.75" hidden="false" customHeight="true" outlineLevel="0" collapsed="false">
      <c r="A8" s="9" t="n">
        <f aca="false">IF(Tâches!A4=0,"",Tâches!A4)</f>
        <v>1</v>
      </c>
      <c r="B8" s="10" t="str">
        <f aca="false">IF(Tâches!B4="","",Tâches!B4)</f>
        <v>Alerte et Retrait</v>
      </c>
      <c r="C8" s="11" t="s">
        <v>14</v>
      </c>
      <c r="D8" s="12" t="s">
        <v>15</v>
      </c>
      <c r="E8" s="13" t="str">
        <f aca="false">IF(D8="","",VLOOKUP(D8,Membres!$G$4:$H$22,2,FALSE()))</f>
        <v>Chef d'équipe GDS</v>
      </c>
      <c r="F8" s="12" t="s">
        <v>16</v>
      </c>
      <c r="G8" s="12" t="s">
        <v>17</v>
      </c>
      <c r="H8" s="14" t="s">
        <v>18</v>
      </c>
      <c r="I8" s="15"/>
    </row>
    <row r="9" customFormat="false" ht="24.75" hidden="false" customHeight="true" outlineLevel="0" collapsed="false">
      <c r="A9" s="9" t="n">
        <f aca="false">IF(Tâches!A5=0,"",Tâches!A5)</f>
        <v>2</v>
      </c>
      <c r="B9" s="10" t="str">
        <f aca="false">IF(Tâches!B5="","",Tâches!B5)</f>
        <v>Retour Client</v>
      </c>
      <c r="C9" s="11" t="s">
        <v>19</v>
      </c>
      <c r="D9" s="12" t="s">
        <v>20</v>
      </c>
      <c r="E9" s="13" t="str">
        <f aca="false">IF(D9="","",VLOOKUP(D9,Membres!$G$4:$H$22,2,FALSE()))</f>
        <v>Inventoriste</v>
      </c>
      <c r="F9" s="12" t="s">
        <v>21</v>
      </c>
      <c r="G9" s="12"/>
      <c r="H9" s="14" t="s">
        <v>22</v>
      </c>
      <c r="I9" s="15"/>
    </row>
    <row r="10" customFormat="false" ht="24.75" hidden="false" customHeight="true" outlineLevel="0" collapsed="false">
      <c r="A10" s="9" t="n">
        <f aca="false">IF(Tâches!A6=0,"",Tâches!A6)</f>
        <v>3</v>
      </c>
      <c r="B10" s="10" t="str">
        <f aca="false">IF(Tâches!B6="","",Tâches!B6)</f>
        <v>Charte Fraîcheur Fruits &amp; Légumes</v>
      </c>
      <c r="C10" s="11" t="s">
        <v>23</v>
      </c>
      <c r="D10" s="12" t="s">
        <v>24</v>
      </c>
      <c r="E10" s="13" t="str">
        <f aca="false">IF(D10="","",VLOOKUP(D10,Membres!$G$4:$H$22,2,FALSE()))</f>
        <v>Inventoriste</v>
      </c>
      <c r="F10" s="12" t="s">
        <v>25</v>
      </c>
      <c r="G10" s="12" t="s">
        <v>26</v>
      </c>
      <c r="H10" s="14" t="s">
        <v>22</v>
      </c>
      <c r="I10" s="15" t="s">
        <v>27</v>
      </c>
    </row>
    <row r="11" customFormat="false" ht="24.75" hidden="false" customHeight="true" outlineLevel="0" collapsed="false">
      <c r="A11" s="9" t="n">
        <f aca="false">IF(Tâches!A7=0,"",Tâches!A7)</f>
        <v>4</v>
      </c>
      <c r="B11" s="10" t="str">
        <f aca="false">IF(Tâches!B7="","",Tâches!B7)</f>
        <v>Analyses des manquants</v>
      </c>
      <c r="C11" s="11" t="s">
        <v>23</v>
      </c>
      <c r="D11" s="12" t="s">
        <v>17</v>
      </c>
      <c r="E11" s="13" t="str">
        <f aca="false">IF(D11="","",VLOOKUP(D11,Membres!$G$4:$H$22,2,FALSE()))</f>
        <v>Inventoriste</v>
      </c>
      <c r="F11" s="12"/>
      <c r="G11" s="12"/>
      <c r="H11" s="14" t="str">
        <f aca="false">IF(Tâches!D7="","",Tâches!D7)</f>
        <v/>
      </c>
      <c r="I11" s="15"/>
    </row>
    <row r="12" customFormat="false" ht="24.75" hidden="false" customHeight="true" outlineLevel="0" collapsed="false">
      <c r="A12" s="9" t="n">
        <f aca="false">IF(Tâches!A8=0,"",Tâches!A8)</f>
        <v>5</v>
      </c>
      <c r="B12" s="10" t="str">
        <f aca="false">IF(Tâches!B8="","",Tâches!B8)</f>
        <v>Suivi comptage</v>
      </c>
      <c r="C12" s="11" t="s">
        <v>23</v>
      </c>
      <c r="D12" s="12" t="s">
        <v>28</v>
      </c>
      <c r="E12" s="13" t="str">
        <f aca="false">IF(D12="","",VLOOKUP(D12,Membres!$G$4:$H$22,2,FALSE()))</f>
        <v>Admin</v>
      </c>
      <c r="F12" s="12" t="s">
        <v>24</v>
      </c>
      <c r="G12" s="12" t="s">
        <v>29</v>
      </c>
      <c r="H12" s="14" t="s">
        <v>30</v>
      </c>
      <c r="I12" s="15"/>
    </row>
    <row r="13" customFormat="false" ht="24.75" hidden="false" customHeight="true" outlineLevel="0" collapsed="false">
      <c r="A13" s="9" t="n">
        <f aca="false">IF(Tâches!A9=0,"",Tâches!A9)</f>
        <v>6</v>
      </c>
      <c r="B13" s="10" t="str">
        <f aca="false">IF(Tâches!B9="","",Tâches!B9)</f>
        <v>Gestion des DLC</v>
      </c>
      <c r="C13" s="11" t="s">
        <v>23</v>
      </c>
      <c r="D13" s="12" t="s">
        <v>25</v>
      </c>
      <c r="E13" s="13" t="str">
        <f aca="false">IF(D13="","",VLOOKUP(D13,Membres!$G$4:$H$22,2,FALSE()))</f>
        <v>Inventoriste</v>
      </c>
      <c r="F13" s="12" t="s">
        <v>24</v>
      </c>
      <c r="G13" s="12" t="s">
        <v>15</v>
      </c>
      <c r="H13" s="14" t="s">
        <v>31</v>
      </c>
      <c r="I13" s="15"/>
    </row>
    <row r="14" customFormat="false" ht="24.75" hidden="false" customHeight="true" outlineLevel="0" collapsed="false">
      <c r="A14" s="9" t="n">
        <f aca="false">IF(Tâches!A10=0,"",Tâches!A10)</f>
        <v>7</v>
      </c>
      <c r="B14" s="10" t="str">
        <f aca="false">IF(Tâches!B10="","",Tâches!B10)</f>
        <v>Traitement de déchets</v>
      </c>
      <c r="C14" s="11" t="s">
        <v>23</v>
      </c>
      <c r="D14" s="12" t="s">
        <v>25</v>
      </c>
      <c r="E14" s="13" t="str">
        <f aca="false">IF(D14="","",VLOOKUP(D14,Membres!$G$4:$H$22,2,FALSE()))</f>
        <v>Inventoriste</v>
      </c>
      <c r="F14" s="12" t="s">
        <v>24</v>
      </c>
      <c r="G14" s="12" t="s">
        <v>15</v>
      </c>
      <c r="H14" s="14"/>
      <c r="I14" s="15" t="s">
        <v>32</v>
      </c>
    </row>
    <row r="15" customFormat="false" ht="24.75" hidden="false" customHeight="true" outlineLevel="0" collapsed="false">
      <c r="A15" s="9" t="n">
        <f aca="false">IF(Tâches!A11=0,"",Tâches!A11)</f>
        <v>8</v>
      </c>
      <c r="B15" s="10" t="str">
        <f aca="false">IF(Tâches!B11="","",Tâches!B11)</f>
        <v>Vides / Pleins</v>
      </c>
      <c r="C15" s="11" t="s">
        <v>33</v>
      </c>
      <c r="D15" s="12" t="s">
        <v>34</v>
      </c>
      <c r="E15" s="13" t="str">
        <f aca="false">IF(D15="","",VLOOKUP(D15,Membres!$G$4:$H$22,2,FALSE()))</f>
        <v> </v>
      </c>
      <c r="F15" s="12"/>
      <c r="G15" s="12"/>
      <c r="H15" s="14" t="str">
        <f aca="false">IF(Tâches!D11="","",Tâches!D11)</f>
        <v/>
      </c>
      <c r="I15" s="15" t="s">
        <v>35</v>
      </c>
    </row>
    <row r="16" customFormat="false" ht="24.75" hidden="false" customHeight="true" outlineLevel="0" collapsed="false">
      <c r="A16" s="9" t="n">
        <f aca="false">IF(Tâches!A12=0,"",Tâches!A12)</f>
        <v>9</v>
      </c>
      <c r="B16" s="10" t="str">
        <f aca="false">IF(Tâches!B12="","",Tâches!B12)</f>
        <v>Taux d'occupation</v>
      </c>
      <c r="C16" s="11" t="s">
        <v>23</v>
      </c>
      <c r="D16" s="12" t="s">
        <v>16</v>
      </c>
      <c r="E16" s="13" t="str">
        <f aca="false">IF(D16="","",VLOOKUP(D16,Membres!$G$4:$H$22,2,FALSE()))</f>
        <v>Responsable du service GDS</v>
      </c>
      <c r="F16" s="12" t="s">
        <v>15</v>
      </c>
      <c r="G16" s="12"/>
      <c r="H16" s="14" t="s">
        <v>36</v>
      </c>
      <c r="I16" s="15"/>
    </row>
    <row r="17" customFormat="false" ht="24.75" hidden="false" customHeight="true" outlineLevel="0" collapsed="false">
      <c r="A17" s="9" t="n">
        <f aca="false">IF(Tâches!A13=0,"",Tâches!A13)</f>
        <v>10</v>
      </c>
      <c r="B17" s="10" t="str">
        <f aca="false">IF(Tâches!B13="","",Tâches!B13)</f>
        <v>Traitement des Litiges-8</v>
      </c>
      <c r="C17" s="11" t="s">
        <v>37</v>
      </c>
      <c r="D17" s="12" t="s">
        <v>34</v>
      </c>
      <c r="E17" s="13" t="str">
        <f aca="false">IF(D17="","",VLOOKUP(D17,Membres!$G$4:$H$22,2,FALSE()))</f>
        <v> </v>
      </c>
      <c r="F17" s="12"/>
      <c r="G17" s="12"/>
      <c r="H17" s="14" t="str">
        <f aca="false">IF(Tâches!D13="","",Tâches!D13)</f>
        <v/>
      </c>
      <c r="I17" s="15"/>
    </row>
    <row r="18" customFormat="false" ht="24.75" hidden="false" customHeight="true" outlineLevel="0" collapsed="false">
      <c r="A18" s="9" t="n">
        <f aca="false">IF(Tâches!A14=0,"",Tâches!A14)</f>
        <v>11</v>
      </c>
      <c r="B18" s="10" t="str">
        <f aca="false">IF(Tâches!B14="","",Tâches!B14)</f>
        <v>Suivi du Stock Dormant</v>
      </c>
      <c r="C18" s="11" t="s">
        <v>23</v>
      </c>
      <c r="D18" s="12" t="s">
        <v>16</v>
      </c>
      <c r="E18" s="13" t="str">
        <f aca="false">IF(D18="","",VLOOKUP(D18,Membres!$G$4:$H$22,2,FALSE()))</f>
        <v>Responsable du service GDS</v>
      </c>
      <c r="F18" s="12" t="s">
        <v>15</v>
      </c>
      <c r="G18" s="12"/>
      <c r="H18" s="14" t="str">
        <f aca="false">IF(Tâches!D14="","",Tâches!D14)</f>
        <v/>
      </c>
      <c r="I18" s="15"/>
    </row>
    <row r="19" customFormat="false" ht="24.75" hidden="false" customHeight="true" outlineLevel="0" collapsed="false">
      <c r="A19" s="9" t="n">
        <f aca="false">IF(Tâches!A15=0,"",Tâches!A15)</f>
        <v>12</v>
      </c>
      <c r="B19" s="10" t="str">
        <f aca="false">IF(Tâches!B15="","",Tâches!B15)</f>
        <v>Inventaire Alcool</v>
      </c>
      <c r="C19" s="11" t="s">
        <v>33</v>
      </c>
      <c r="D19" s="12" t="s">
        <v>38</v>
      </c>
      <c r="E19" s="13" t="str">
        <f aca="false">IF(D19="","",VLOOKUP(D19,Membres!$G$4:$H$22,2,FALSE()))</f>
        <v>Inventoriste</v>
      </c>
      <c r="F19" s="12" t="s">
        <v>39</v>
      </c>
      <c r="G19" s="12"/>
      <c r="H19" s="14" t="s">
        <v>30</v>
      </c>
      <c r="I19" s="15"/>
    </row>
    <row r="20" customFormat="false" ht="24.75" hidden="false" customHeight="true" outlineLevel="0" collapsed="false">
      <c r="A20" s="9" t="n">
        <f aca="false">IF(Tâches!A16=0,"",Tâches!A16)</f>
        <v>13</v>
      </c>
      <c r="B20" s="10" t="str">
        <f aca="false">IF(Tâches!B16="","",Tâches!B16)</f>
        <v>Inventaire Boucherie</v>
      </c>
      <c r="C20" s="11" t="s">
        <v>23</v>
      </c>
      <c r="D20" s="12" t="s">
        <v>34</v>
      </c>
      <c r="E20" s="13" t="str">
        <f aca="false">IF(D20="","",VLOOKUP(D20,Membres!$G$4:$H$22,2,FALSE()))</f>
        <v> </v>
      </c>
      <c r="F20" s="12"/>
      <c r="G20" s="12"/>
      <c r="H20" s="14" t="s">
        <v>22</v>
      </c>
      <c r="I20" s="15" t="s">
        <v>40</v>
      </c>
    </row>
    <row r="21" customFormat="false" ht="24.75" hidden="false" customHeight="true" outlineLevel="0" collapsed="false">
      <c r="A21" s="9" t="n">
        <f aca="false">IF(Tâches!A17=0,"",Tâches!A17)</f>
        <v>14</v>
      </c>
      <c r="B21" s="10" t="str">
        <f aca="false">IF(Tâches!B17="","",Tâches!B17)</f>
        <v>Inventaire Charcuterie</v>
      </c>
      <c r="C21" s="11" t="s">
        <v>41</v>
      </c>
      <c r="D21" s="12" t="s">
        <v>34</v>
      </c>
      <c r="E21" s="13" t="str">
        <f aca="false">IF(D21="","",VLOOKUP(D21,Membres!$G$4:$H$22,2,FALSE()))</f>
        <v> </v>
      </c>
      <c r="F21" s="12"/>
      <c r="G21" s="12"/>
      <c r="H21" s="14" t="s">
        <v>22</v>
      </c>
      <c r="I21" s="15" t="s">
        <v>40</v>
      </c>
    </row>
    <row r="22" customFormat="false" ht="39" hidden="false" customHeight="true" outlineLevel="0" collapsed="false">
      <c r="A22" s="9" t="n">
        <f aca="false">IF(Tâches!A18=0,"",Tâches!A18)</f>
        <v>15</v>
      </c>
      <c r="B22" s="10" t="str">
        <f aca="false">IF(Tâches!B18="","",Tâches!B18)</f>
        <v>Inventaire La Marée</v>
      </c>
      <c r="C22" s="11" t="s">
        <v>23</v>
      </c>
      <c r="D22" s="12"/>
      <c r="E22" s="13" t="str">
        <f aca="false">IF(D22="","",VLOOKUP(D22,Membres!$G$4:$H$22,2,FALSE()))</f>
        <v/>
      </c>
      <c r="F22" s="12"/>
      <c r="G22" s="12"/>
      <c r="H22" s="14" t="s">
        <v>22</v>
      </c>
      <c r="I22" s="15" t="s">
        <v>42</v>
      </c>
    </row>
    <row r="23" customFormat="false" ht="24.75" hidden="false" customHeight="true" outlineLevel="0" collapsed="false">
      <c r="A23" s="9" t="n">
        <f aca="false">IF(Tâches!A19=0,"",Tâches!A19)</f>
        <v>16</v>
      </c>
      <c r="B23" s="10" t="str">
        <f aca="false">IF(Tâches!B19="","",Tâches!B19)</f>
        <v>Inventaire autres GA</v>
      </c>
      <c r="C23" s="11" t="s">
        <v>43</v>
      </c>
      <c r="D23" s="12" t="s">
        <v>34</v>
      </c>
      <c r="E23" s="13" t="str">
        <f aca="false">IF(D23="","",VLOOKUP(D23,Membres!$G$4:$H$22,2,FALSE()))</f>
        <v> </v>
      </c>
      <c r="F23" s="12"/>
      <c r="G23" s="12"/>
      <c r="H23" s="14" t="s">
        <v>22</v>
      </c>
      <c r="I23" s="15"/>
    </row>
    <row r="24" customFormat="false" ht="24.75" hidden="false" customHeight="true" outlineLevel="0" collapsed="false">
      <c r="A24" s="9" t="n">
        <f aca="false">IF(Tâches!A20=0,"",Tâches!A20)</f>
        <v>17</v>
      </c>
      <c r="B24" s="10" t="str">
        <f aca="false">IF(Tâches!B20="","",Tâches!B20)</f>
        <v>Inventaire zone de Masse</v>
      </c>
      <c r="C24" s="11" t="s">
        <v>33</v>
      </c>
      <c r="D24" s="12" t="s">
        <v>34</v>
      </c>
      <c r="E24" s="13" t="str">
        <f aca="false">IF(D24="","",VLOOKUP(D24,Membres!$G$4:$H$22,2,FALSE()))</f>
        <v> </v>
      </c>
      <c r="F24" s="12"/>
      <c r="G24" s="12"/>
      <c r="H24" s="14" t="s">
        <v>22</v>
      </c>
      <c r="I24" s="15"/>
    </row>
    <row r="25" customFormat="false" ht="24.75" hidden="false" customHeight="true" outlineLevel="0" collapsed="false">
      <c r="A25" s="9" t="n">
        <f aca="false">IF(Tâches!A21=0,"",Tâches!A21)</f>
        <v>18</v>
      </c>
      <c r="B25" s="10" t="str">
        <f aca="false">IF(Tâches!B21="","",Tâches!B21)</f>
        <v>Inventaire zone Sugelé</v>
      </c>
      <c r="C25" s="11" t="s">
        <v>23</v>
      </c>
      <c r="D25" s="12" t="s">
        <v>44</v>
      </c>
      <c r="E25" s="13" t="str">
        <f aca="false">IF(D25="","",VLOOKUP(D25,Membres!$G$4:$H$22,2,FALSE()))</f>
        <v>Inventoriste/Cariste</v>
      </c>
      <c r="F25" s="12" t="s">
        <v>45</v>
      </c>
      <c r="G25" s="12"/>
      <c r="H25" s="14"/>
      <c r="I25" s="15"/>
    </row>
    <row r="26" customFormat="false" ht="24.75" hidden="false" customHeight="true" outlineLevel="0" collapsed="false">
      <c r="A26" s="9" t="n">
        <f aca="false">IF(Tâches!A22=0,"",Tâches!A22)</f>
        <v>19</v>
      </c>
      <c r="B26" s="10" t="str">
        <f aca="false">IF(Tâches!B22="","",Tâches!B22)</f>
        <v>Gestion des consommables</v>
      </c>
      <c r="C26" s="11" t="str">
        <f aca="false">IF(Tâches!C22="","",Tâches!C22)</f>
        <v/>
      </c>
      <c r="D26" s="12" t="s">
        <v>46</v>
      </c>
      <c r="E26" s="13" t="str">
        <f aca="false">IF(D26="","",VLOOKUP(D26,Membres!$G$4:$H$22,2,FALSE()))</f>
        <v>Inventoriste</v>
      </c>
      <c r="F26" s="12"/>
      <c r="G26" s="12"/>
      <c r="H26" s="14" t="str">
        <f aca="false">IF(Tâches!D22="","",Tâches!D22)</f>
        <v/>
      </c>
      <c r="I26" s="15"/>
    </row>
    <row r="27" customFormat="false" ht="24.75" hidden="false" customHeight="true" outlineLevel="0" collapsed="false">
      <c r="A27" s="9" t="n">
        <f aca="false">IF(Tâches!A23=0,"",Tâches!A23)</f>
        <v>20</v>
      </c>
      <c r="B27" s="10" t="str">
        <f aca="false">IF(Tâches!B23="","",Tâches!B23)</f>
        <v>Inventaire &lt;1 Anticipation ruptures</v>
      </c>
      <c r="C27" s="11" t="s">
        <v>23</v>
      </c>
      <c r="D27" s="12" t="s">
        <v>47</v>
      </c>
      <c r="E27" s="13" t="str">
        <f aca="false">IF(D27="","",VLOOKUP(D27,Membres!$G$4:$H$22,2,FALSE()))</f>
        <v>Inventoriste</v>
      </c>
      <c r="F27" s="12" t="s">
        <v>39</v>
      </c>
      <c r="G27" s="12" t="s">
        <v>44</v>
      </c>
      <c r="H27" s="14" t="s">
        <v>48</v>
      </c>
      <c r="I27" s="15"/>
    </row>
    <row r="28" customFormat="false" ht="24.75" hidden="false" customHeight="true" outlineLevel="0" collapsed="false">
      <c r="A28" s="9" t="n">
        <f aca="false">IF(Tâches!A24=0,"",Tâches!A24)</f>
        <v>21</v>
      </c>
      <c r="B28" s="10" t="str">
        <f aca="false">IF(Tâches!B24="","",Tâches!B24)</f>
        <v>Optimisation DLC Frais</v>
      </c>
      <c r="C28" s="11" t="s">
        <v>23</v>
      </c>
      <c r="D28" s="12"/>
      <c r="E28" s="13" t="str">
        <f aca="false">IF(D28="","",VLOOKUP(D28,Membres!$G$4:$H$22,2,FALSE()))</f>
        <v/>
      </c>
      <c r="F28" s="12"/>
      <c r="G28" s="12"/>
      <c r="H28" s="14" t="str">
        <f aca="false">IF(Tâches!D24="","",Tâches!D24)</f>
        <v/>
      </c>
      <c r="I28" s="15" t="s">
        <v>49</v>
      </c>
    </row>
    <row r="29" customFormat="false" ht="24.75" hidden="false" customHeight="true" outlineLevel="0" collapsed="false">
      <c r="A29" s="9" t="n">
        <f aca="false">IF(Tâches!A25=0,"",Tâches!A25)</f>
        <v>22</v>
      </c>
      <c r="B29" s="10" t="str">
        <f aca="false">IF(Tâches!B25="","",Tâches!B25)</f>
        <v>Optimisation Picking et Réserve Ambiant/Frais</v>
      </c>
      <c r="C29" s="11" t="s">
        <v>23</v>
      </c>
      <c r="D29" s="12" t="s">
        <v>39</v>
      </c>
      <c r="E29" s="13" t="str">
        <f aca="false">IF(D29="","",VLOOKUP(D29,Membres!$G$4:$H$22,2,FALSE()))</f>
        <v>Inventoriste/Cariste</v>
      </c>
      <c r="F29" s="12"/>
      <c r="G29" s="12"/>
      <c r="H29" s="14" t="str">
        <f aca="false">IF(Tâches!D25="","",Tâches!D25)</f>
        <v/>
      </c>
      <c r="I29" s="15"/>
    </row>
    <row r="30" customFormat="false" ht="24.75" hidden="false" customHeight="true" outlineLevel="0" collapsed="false">
      <c r="A30" s="9" t="n">
        <f aca="false">IF(Tâches!A26=0,"",Tâches!A26)</f>
        <v>23</v>
      </c>
      <c r="B30" s="10" t="str">
        <f aca="false">IF(Tâches!B26="","",Tâches!B26)</f>
        <v>Optimisation Picking et Réserve Surgelé</v>
      </c>
      <c r="C30" s="11" t="s">
        <v>23</v>
      </c>
      <c r="D30" s="12" t="s">
        <v>44</v>
      </c>
      <c r="E30" s="13" t="str">
        <f aca="false">IF(D30="","",VLOOKUP(D30,Membres!$G$4:$H$22,2,FALSE()))</f>
        <v>Inventoriste/Cariste</v>
      </c>
      <c r="F30" s="12" t="s">
        <v>45</v>
      </c>
      <c r="G30" s="12"/>
      <c r="H30" s="14" t="s">
        <v>50</v>
      </c>
      <c r="I30" s="15"/>
    </row>
    <row r="31" customFormat="false" ht="24.75" hidden="false" customHeight="true" outlineLevel="0" collapsed="false">
      <c r="A31" s="9" t="n">
        <f aca="false">IF(Tâches!A27=0,"",Tâches!A27)</f>
        <v>24</v>
      </c>
      <c r="B31" s="10" t="str">
        <f aca="false">IF(Tâches!B27="","",Tâches!B27)</f>
        <v>Transferts de marchandises</v>
      </c>
      <c r="C31" s="11" t="s">
        <v>51</v>
      </c>
      <c r="D31" s="12" t="s">
        <v>39</v>
      </c>
      <c r="E31" s="13" t="str">
        <f aca="false">IF(D31="","",VLOOKUP(D31,Membres!$G$4:$H$22,2,FALSE()))</f>
        <v>Inventoriste/Cariste</v>
      </c>
      <c r="F31" s="12" t="s">
        <v>38</v>
      </c>
      <c r="G31" s="12"/>
      <c r="H31" s="14" t="s">
        <v>22</v>
      </c>
      <c r="I31" s="15" t="s">
        <v>52</v>
      </c>
    </row>
    <row r="32" customFormat="false" ht="24.75" hidden="false" customHeight="true" outlineLevel="0" collapsed="false">
      <c r="A32" s="9" t="n">
        <f aca="false">IF(Tâches!A28=0,"",Tâches!A28)</f>
        <v>25</v>
      </c>
      <c r="B32" s="10" t="str">
        <f aca="false">IF(Tâches!B28="","",Tâches!B28)</f>
        <v>Déphasage Mdépot MMS</v>
      </c>
      <c r="C32" s="11" t="s">
        <v>23</v>
      </c>
      <c r="D32" s="12" t="s">
        <v>17</v>
      </c>
      <c r="E32" s="13" t="str">
        <f aca="false">IF(D32="","",VLOOKUP(D32,Membres!$G$4:$H$22,2,FALSE()))</f>
        <v>Inventoriste</v>
      </c>
      <c r="F32" s="12" t="s">
        <v>15</v>
      </c>
      <c r="G32" s="12"/>
      <c r="H32" s="14" t="s">
        <v>53</v>
      </c>
      <c r="I32" s="15"/>
    </row>
    <row r="33" customFormat="false" ht="24.75" hidden="false" customHeight="true" outlineLevel="0" collapsed="false">
      <c r="A33" s="9" t="n">
        <f aca="false">IF(Tâches!A29=0,"",Tâches!A29)</f>
        <v>26</v>
      </c>
      <c r="B33" s="10" t="str">
        <f aca="false">IF(Tâches!B29="","",Tâches!B29)</f>
        <v>Contrôle des détrompeurs</v>
      </c>
      <c r="C33" s="11" t="s">
        <v>23</v>
      </c>
      <c r="D33" s="12" t="s">
        <v>54</v>
      </c>
      <c r="E33" s="13" t="str">
        <f aca="false">IF(D33="","",VLOOKUP(D33,Membres!$G$4:$H$22,2,FALSE()))</f>
        <v>Inventoriste/Cariste</v>
      </c>
      <c r="F33" s="12" t="s">
        <v>47</v>
      </c>
      <c r="G33" s="12"/>
      <c r="H33" s="14"/>
      <c r="I33" s="15"/>
    </row>
    <row r="34" customFormat="false" ht="24.75" hidden="false" customHeight="true" outlineLevel="0" collapsed="false">
      <c r="A34" s="9" t="n">
        <f aca="false">IF(Tâches!A30=0,"",Tâches!A30)</f>
        <v>27</v>
      </c>
      <c r="B34" s="10" t="str">
        <f aca="false">IF(Tâches!B30="","",Tâches!B30)</f>
        <v>Entretien des QR CODE</v>
      </c>
      <c r="C34" s="11" t="s">
        <v>23</v>
      </c>
      <c r="D34" s="12" t="s">
        <v>28</v>
      </c>
      <c r="E34" s="13" t="str">
        <f aca="false">IF(D34="","",VLOOKUP(D34,Membres!$G$4:$H$22,2,FALSE()))</f>
        <v>Admin</v>
      </c>
      <c r="F34" s="12" t="s">
        <v>15</v>
      </c>
      <c r="G34" s="12"/>
      <c r="H34" s="14" t="str">
        <f aca="false">IF(Tâches!D30="","",Tâches!D30)</f>
        <v/>
      </c>
      <c r="I34" s="15"/>
    </row>
    <row r="35" customFormat="false" ht="24.75" hidden="false" customHeight="true" outlineLevel="0" collapsed="false">
      <c r="A35" s="9" t="n">
        <f aca="false">IF(Tâches!A31=0,"",Tâches!A31)</f>
        <v>28</v>
      </c>
      <c r="B35" s="10" t="str">
        <f aca="false">IF(Tâches!B31="","",Tâches!B31)</f>
        <v>Facing DLC</v>
      </c>
      <c r="C35" s="11" t="s">
        <v>23</v>
      </c>
      <c r="D35" s="12" t="s">
        <v>54</v>
      </c>
      <c r="E35" s="13" t="str">
        <f aca="false">IF(D35="","",VLOOKUP(D35,Membres!$G$4:$H$22,2,FALSE()))</f>
        <v>Inventoriste/Cariste</v>
      </c>
      <c r="F35" s="12" t="s">
        <v>47</v>
      </c>
      <c r="G35" s="12"/>
      <c r="H35" s="14" t="s">
        <v>22</v>
      </c>
      <c r="I35" s="15"/>
    </row>
    <row r="36" customFormat="false" ht="24.75" hidden="false" customHeight="true" outlineLevel="0" collapsed="false">
      <c r="A36" s="9" t="n">
        <f aca="false">IF(Tâches!A32=0,"",Tâches!A32)</f>
        <v>29</v>
      </c>
      <c r="B36" s="10" t="str">
        <f aca="false">IF(Tâches!B32="","",Tâches!B32)</f>
        <v>Saisie des inventaires</v>
      </c>
      <c r="C36" s="11" t="s">
        <v>23</v>
      </c>
      <c r="D36" s="12" t="s">
        <v>28</v>
      </c>
      <c r="E36" s="13" t="str">
        <f aca="false">IF(D36="","",VLOOKUP(D36,Membres!$G$4:$H$22,2,FALSE()))</f>
        <v>Admin</v>
      </c>
      <c r="F36" s="12" t="s">
        <v>24</v>
      </c>
      <c r="G36" s="12" t="s">
        <v>17</v>
      </c>
      <c r="H36" s="14" t="s">
        <v>55</v>
      </c>
      <c r="I36" s="15"/>
    </row>
    <row r="37" customFormat="false" ht="24.75" hidden="false" customHeight="true" outlineLevel="0" collapsed="false">
      <c r="A37" s="9" t="n">
        <f aca="false">IF(Tâches!A33=0,"",Tâches!A33)</f>
        <v>30</v>
      </c>
      <c r="B37" s="10" t="str">
        <f aca="false">IF(Tâches!B33="","",Tâches!B33)</f>
        <v>Synthèse de fin de journée</v>
      </c>
      <c r="C37" s="11" t="s">
        <v>23</v>
      </c>
      <c r="D37" s="12" t="s">
        <v>28</v>
      </c>
      <c r="E37" s="13" t="str">
        <f aca="false">IF(D37="","",VLOOKUP(D37,Membres!$G$4:$H$22,2,FALSE()))</f>
        <v>Admin</v>
      </c>
      <c r="F37" s="12" t="s">
        <v>24</v>
      </c>
      <c r="G37" s="12" t="s">
        <v>29</v>
      </c>
      <c r="H37" s="14" t="s">
        <v>56</v>
      </c>
      <c r="I37" s="15"/>
    </row>
    <row r="38" customFormat="false" ht="24.75" hidden="false" customHeight="true" outlineLevel="0" collapsed="false">
      <c r="A38" s="9" t="n">
        <f aca="false">IF(Tâches!A34=0,"",Tâches!A34)</f>
        <v>31</v>
      </c>
      <c r="B38" s="10" t="str">
        <f aca="false">IF(Tâches!B34="","",Tâches!B34)</f>
        <v>Traitement des Cross Dock au Picking</v>
      </c>
      <c r="C38" s="11" t="s">
        <v>23</v>
      </c>
      <c r="D38" s="12" t="s">
        <v>25</v>
      </c>
      <c r="E38" s="13" t="str">
        <f aca="false">IF(D38="","",VLOOKUP(D38,Membres!$G$4:$H$22,2,FALSE()))</f>
        <v>Inventoriste</v>
      </c>
      <c r="F38" s="12" t="s">
        <v>24</v>
      </c>
      <c r="G38" s="12"/>
      <c r="H38" s="14" t="s">
        <v>22</v>
      </c>
      <c r="I38" s="15" t="s">
        <v>27</v>
      </c>
    </row>
    <row r="39" customFormat="false" ht="24.75" hidden="false" customHeight="true" outlineLevel="0" collapsed="false">
      <c r="A39" s="9" t="n">
        <f aca="false">IF(Tâches!A35=0,"",Tâches!A35)</f>
        <v>32</v>
      </c>
      <c r="B39" s="10" t="str">
        <f aca="false">IF(Tâches!B35="","",Tâches!B35)</f>
        <v>Contrôle des Cross Dock</v>
      </c>
      <c r="C39" s="11" t="s">
        <v>23</v>
      </c>
      <c r="D39" s="12" t="s">
        <v>15</v>
      </c>
      <c r="E39" s="13" t="str">
        <f aca="false">IF(D39="","",VLOOKUP(D39,Membres!$G$4:$H$22,2,FALSE()))</f>
        <v>Chef d'équipe GDS</v>
      </c>
      <c r="F39" s="12"/>
      <c r="G39" s="12"/>
      <c r="H39" s="14" t="s">
        <v>55</v>
      </c>
      <c r="I39" s="15"/>
    </row>
    <row r="40" customFormat="false" ht="15" hidden="false" customHeight="true" outlineLevel="0" collapsed="false">
      <c r="A40" s="16"/>
      <c r="B40" s="16"/>
      <c r="C40" s="16"/>
      <c r="D40" s="16"/>
      <c r="E40" s="16"/>
      <c r="F40" s="16"/>
      <c r="G40" s="16"/>
      <c r="H40" s="16"/>
      <c r="I40" s="16"/>
    </row>
    <row r="41" customFormat="false" ht="27.75" hidden="false" customHeight="true" outlineLevel="0" collapsed="false">
      <c r="A41" s="17" t="s">
        <v>57</v>
      </c>
      <c r="B41" s="17"/>
      <c r="C41" s="17"/>
      <c r="D41" s="17"/>
      <c r="E41" s="18"/>
      <c r="F41" s="18"/>
      <c r="G41" s="18"/>
      <c r="H41" s="18"/>
      <c r="I41" s="18"/>
    </row>
    <row r="42" customFormat="false" ht="15" hidden="false" customHeight="true" outlineLevel="0" collapsed="false">
      <c r="A42" s="19"/>
      <c r="B42" s="16"/>
      <c r="C42" s="16"/>
      <c r="D42" s="16"/>
      <c r="E42" s="16"/>
      <c r="F42" s="20"/>
      <c r="G42" s="16"/>
      <c r="H42" s="16"/>
      <c r="I42" s="16"/>
    </row>
    <row r="43" customFormat="false" ht="27.75" hidden="false" customHeight="true" outlineLevel="0" collapsed="false">
      <c r="A43" s="17" t="s">
        <v>58</v>
      </c>
      <c r="B43" s="18"/>
      <c r="C43" s="18"/>
      <c r="D43" s="16"/>
      <c r="E43" s="17" t="s">
        <v>59</v>
      </c>
      <c r="F43" s="21"/>
      <c r="G43" s="21"/>
      <c r="H43" s="21"/>
      <c r="I43" s="21"/>
    </row>
    <row r="44" customFormat="false" ht="15" hidden="false" customHeight="true" outlineLevel="0" collapsed="false">
      <c r="A44" s="16"/>
      <c r="B44" s="16"/>
      <c r="C44" s="16"/>
      <c r="D44" s="16"/>
      <c r="E44" s="16"/>
      <c r="F44" s="16"/>
      <c r="G44" s="16"/>
      <c r="H44" s="16"/>
      <c r="I44" s="16"/>
    </row>
    <row r="45" customFormat="false" ht="15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</row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</sheetData>
  <mergeCells count="8">
    <mergeCell ref="C1:H1"/>
    <mergeCell ref="C2:H2"/>
    <mergeCell ref="C3:E3"/>
    <mergeCell ref="A5:I5"/>
    <mergeCell ref="A41:D41"/>
    <mergeCell ref="E41:I41"/>
    <mergeCell ref="B43:C43"/>
    <mergeCell ref="F43:I43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8" min="7" style="0" width="13"/>
  </cols>
  <sheetData>
    <row r="1" customFormat="false" ht="34.5" hidden="false" customHeight="true" outlineLevel="0" collapsed="false">
      <c r="A1" s="22" t="s">
        <v>60</v>
      </c>
      <c r="B1" s="22"/>
      <c r="C1" s="22"/>
      <c r="D1" s="22"/>
      <c r="E1" s="22"/>
    </row>
    <row r="2" customFormat="false" ht="9.75" hidden="false" customHeight="true" outlineLevel="0" collapsed="false"/>
    <row r="3" customFormat="false" ht="24.75" hidden="false" customHeight="true" outlineLevel="0" collapsed="false">
      <c r="A3" s="23" t="s">
        <v>5</v>
      </c>
      <c r="B3" s="23" t="s">
        <v>61</v>
      </c>
      <c r="C3" s="23" t="s">
        <v>62</v>
      </c>
      <c r="D3" s="23" t="s">
        <v>9</v>
      </c>
      <c r="E3" s="23" t="s">
        <v>63</v>
      </c>
    </row>
    <row r="4" customFormat="false" ht="19.5" hidden="false" customHeight="true" outlineLevel="0" collapsed="false">
      <c r="A4" s="24" t="n">
        <v>1</v>
      </c>
      <c r="B4" s="25" t="s">
        <v>64</v>
      </c>
      <c r="C4" s="25" t="s">
        <v>65</v>
      </c>
      <c r="D4" s="25" t="s">
        <v>66</v>
      </c>
      <c r="E4" s="24"/>
      <c r="G4" s="26" t="s">
        <v>16</v>
      </c>
      <c r="H4" s="26" t="s">
        <v>66</v>
      </c>
    </row>
    <row r="5" customFormat="false" ht="19.5" hidden="false" customHeight="true" outlineLevel="0" collapsed="false">
      <c r="A5" s="24" t="n">
        <v>2</v>
      </c>
      <c r="B5" s="25" t="s">
        <v>67</v>
      </c>
      <c r="C5" s="25" t="s">
        <v>68</v>
      </c>
      <c r="D5" s="25" t="s">
        <v>69</v>
      </c>
      <c r="E5" s="24"/>
      <c r="G5" s="26" t="s">
        <v>15</v>
      </c>
      <c r="H5" s="26" t="s">
        <v>69</v>
      </c>
    </row>
    <row r="6" customFormat="false" ht="19.5" hidden="false" customHeight="true" outlineLevel="0" collapsed="false">
      <c r="A6" s="24" t="n">
        <v>3</v>
      </c>
      <c r="B6" s="25" t="s">
        <v>70</v>
      </c>
      <c r="C6" s="25" t="s">
        <v>71</v>
      </c>
      <c r="D6" s="25" t="s">
        <v>72</v>
      </c>
      <c r="E6" s="24"/>
      <c r="G6" s="26" t="s">
        <v>39</v>
      </c>
      <c r="H6" s="26" t="s">
        <v>72</v>
      </c>
    </row>
    <row r="7" customFormat="false" ht="19.5" hidden="false" customHeight="true" outlineLevel="0" collapsed="false">
      <c r="A7" s="24" t="n">
        <v>4</v>
      </c>
      <c r="B7" s="25" t="s">
        <v>73</v>
      </c>
      <c r="C7" s="25" t="s">
        <v>74</v>
      </c>
      <c r="D7" s="25" t="s">
        <v>75</v>
      </c>
      <c r="E7" s="24"/>
      <c r="G7" s="26" t="s">
        <v>20</v>
      </c>
      <c r="H7" s="26" t="s">
        <v>75</v>
      </c>
    </row>
    <row r="8" customFormat="false" ht="19.5" hidden="false" customHeight="true" outlineLevel="0" collapsed="false">
      <c r="A8" s="24" t="n">
        <v>5</v>
      </c>
      <c r="B8" s="25" t="s">
        <v>76</v>
      </c>
      <c r="C8" s="25" t="s">
        <v>77</v>
      </c>
      <c r="D8" s="25" t="s">
        <v>75</v>
      </c>
      <c r="E8" s="24"/>
      <c r="G8" s="26" t="s">
        <v>46</v>
      </c>
      <c r="H8" s="26" t="s">
        <v>75</v>
      </c>
    </row>
    <row r="9" customFormat="false" ht="19.5" hidden="false" customHeight="true" outlineLevel="0" collapsed="false">
      <c r="A9" s="24" t="n">
        <v>6</v>
      </c>
      <c r="B9" s="25" t="s">
        <v>78</v>
      </c>
      <c r="C9" s="25" t="s">
        <v>79</v>
      </c>
      <c r="D9" s="25" t="s">
        <v>75</v>
      </c>
      <c r="E9" s="24"/>
      <c r="G9" s="26" t="s">
        <v>29</v>
      </c>
      <c r="H9" s="26" t="s">
        <v>75</v>
      </c>
    </row>
    <row r="10" customFormat="false" ht="19.5" hidden="false" customHeight="true" outlineLevel="0" collapsed="false">
      <c r="A10" s="24" t="n">
        <v>7</v>
      </c>
      <c r="B10" s="25" t="s">
        <v>80</v>
      </c>
      <c r="C10" s="25" t="s">
        <v>81</v>
      </c>
      <c r="D10" s="25" t="s">
        <v>72</v>
      </c>
      <c r="E10" s="24" t="s">
        <v>82</v>
      </c>
      <c r="G10" s="26" t="s">
        <v>45</v>
      </c>
      <c r="H10" s="26" t="s">
        <v>72</v>
      </c>
    </row>
    <row r="11" customFormat="false" ht="19.5" hidden="false" customHeight="true" outlineLevel="0" collapsed="false">
      <c r="A11" s="24" t="n">
        <v>8</v>
      </c>
      <c r="B11" s="25" t="s">
        <v>83</v>
      </c>
      <c r="C11" s="25" t="s">
        <v>84</v>
      </c>
      <c r="D11" s="25" t="s">
        <v>85</v>
      </c>
      <c r="E11" s="24"/>
      <c r="G11" s="26" t="s">
        <v>28</v>
      </c>
      <c r="H11" s="26" t="s">
        <v>85</v>
      </c>
    </row>
    <row r="12" customFormat="false" ht="19.5" hidden="false" customHeight="true" outlineLevel="0" collapsed="false">
      <c r="A12" s="24" t="n">
        <v>9</v>
      </c>
      <c r="B12" s="25" t="s">
        <v>86</v>
      </c>
      <c r="C12" s="25" t="s">
        <v>87</v>
      </c>
      <c r="D12" s="25" t="s">
        <v>75</v>
      </c>
      <c r="E12" s="24"/>
      <c r="G12" s="26" t="s">
        <v>47</v>
      </c>
      <c r="H12" s="26" t="s">
        <v>75</v>
      </c>
    </row>
    <row r="13" customFormat="false" ht="19.5" hidden="false" customHeight="true" outlineLevel="0" collapsed="false">
      <c r="A13" s="24" t="n">
        <v>10</v>
      </c>
      <c r="B13" s="25" t="s">
        <v>88</v>
      </c>
      <c r="C13" s="25" t="s">
        <v>89</v>
      </c>
      <c r="D13" s="25" t="s">
        <v>75</v>
      </c>
      <c r="E13" s="24"/>
      <c r="G13" s="26" t="s">
        <v>21</v>
      </c>
      <c r="H13" s="26" t="s">
        <v>75</v>
      </c>
    </row>
    <row r="14" customFormat="false" ht="19.5" hidden="false" customHeight="true" outlineLevel="0" collapsed="false">
      <c r="A14" s="24" t="n">
        <v>11</v>
      </c>
      <c r="B14" s="25" t="s">
        <v>90</v>
      </c>
      <c r="C14" s="25" t="s">
        <v>91</v>
      </c>
      <c r="D14" s="25" t="s">
        <v>75</v>
      </c>
      <c r="E14" s="24"/>
      <c r="G14" s="26" t="s">
        <v>24</v>
      </c>
      <c r="H14" s="26" t="s">
        <v>75</v>
      </c>
    </row>
    <row r="15" customFormat="false" ht="19.5" hidden="false" customHeight="true" outlineLevel="0" collapsed="false">
      <c r="A15" s="24" t="n">
        <v>12</v>
      </c>
      <c r="B15" s="25" t="s">
        <v>92</v>
      </c>
      <c r="C15" s="25" t="s">
        <v>93</v>
      </c>
      <c r="D15" s="25" t="s">
        <v>72</v>
      </c>
      <c r="E15" s="24"/>
      <c r="G15" s="26" t="s">
        <v>54</v>
      </c>
      <c r="H15" s="26" t="s">
        <v>72</v>
      </c>
    </row>
    <row r="16" customFormat="false" ht="19.5" hidden="false" customHeight="true" outlineLevel="0" collapsed="false">
      <c r="A16" s="24" t="n">
        <v>13</v>
      </c>
      <c r="B16" s="25" t="s">
        <v>94</v>
      </c>
      <c r="C16" s="25" t="s">
        <v>95</v>
      </c>
      <c r="D16" s="25" t="s">
        <v>75</v>
      </c>
      <c r="E16" s="24"/>
      <c r="G16" s="26" t="s">
        <v>96</v>
      </c>
      <c r="H16" s="26" t="s">
        <v>75</v>
      </c>
    </row>
    <row r="17" customFormat="false" ht="19.5" hidden="false" customHeight="true" outlineLevel="0" collapsed="false">
      <c r="A17" s="24" t="n">
        <v>14</v>
      </c>
      <c r="B17" s="25" t="s">
        <v>97</v>
      </c>
      <c r="C17" s="25" t="s">
        <v>98</v>
      </c>
      <c r="D17" s="25" t="s">
        <v>75</v>
      </c>
      <c r="E17" s="24"/>
      <c r="G17" s="26" t="s">
        <v>17</v>
      </c>
      <c r="H17" s="26" t="s">
        <v>75</v>
      </c>
    </row>
    <row r="18" customFormat="false" ht="19.5" hidden="false" customHeight="true" outlineLevel="0" collapsed="false">
      <c r="A18" s="24" t="n">
        <v>15</v>
      </c>
      <c r="B18" s="25" t="s">
        <v>99</v>
      </c>
      <c r="C18" s="25" t="s">
        <v>100</v>
      </c>
      <c r="D18" s="25" t="s">
        <v>72</v>
      </c>
      <c r="E18" s="24" t="s">
        <v>82</v>
      </c>
      <c r="G18" s="26" t="s">
        <v>44</v>
      </c>
      <c r="H18" s="26" t="s">
        <v>72</v>
      </c>
    </row>
    <row r="19" customFormat="false" ht="19.5" hidden="false" customHeight="true" outlineLevel="0" collapsed="false">
      <c r="A19" s="24" t="n">
        <v>16</v>
      </c>
      <c r="B19" s="25" t="s">
        <v>101</v>
      </c>
      <c r="C19" s="25" t="s">
        <v>102</v>
      </c>
      <c r="D19" s="25" t="s">
        <v>75</v>
      </c>
      <c r="E19" s="24"/>
      <c r="G19" s="26" t="s">
        <v>25</v>
      </c>
      <c r="H19" s="26" t="s">
        <v>75</v>
      </c>
    </row>
    <row r="20" customFormat="false" ht="19.5" hidden="false" customHeight="true" outlineLevel="0" collapsed="false">
      <c r="A20" s="24" t="n">
        <v>17</v>
      </c>
      <c r="B20" s="25" t="s">
        <v>103</v>
      </c>
      <c r="C20" s="25" t="s">
        <v>104</v>
      </c>
      <c r="D20" s="25" t="s">
        <v>75</v>
      </c>
      <c r="E20" s="24"/>
      <c r="G20" s="26" t="s">
        <v>26</v>
      </c>
      <c r="H20" s="26" t="s">
        <v>75</v>
      </c>
    </row>
    <row r="21" customFormat="false" ht="19.5" hidden="false" customHeight="true" outlineLevel="0" collapsed="false">
      <c r="A21" s="24" t="n">
        <v>18</v>
      </c>
      <c r="B21" s="25" t="s">
        <v>105</v>
      </c>
      <c r="C21" s="25" t="s">
        <v>106</v>
      </c>
      <c r="D21" s="25" t="s">
        <v>75</v>
      </c>
      <c r="E21" s="24"/>
      <c r="G21" s="26" t="s">
        <v>38</v>
      </c>
      <c r="H21" s="26" t="s">
        <v>75</v>
      </c>
    </row>
    <row r="22" customFormat="false" ht="19.5" hidden="false" customHeight="true" outlineLevel="0" collapsed="false">
      <c r="A22" s="24" t="n">
        <v>18</v>
      </c>
      <c r="B22" s="25" t="s">
        <v>34</v>
      </c>
      <c r="C22" s="25"/>
      <c r="D22" s="25"/>
      <c r="E22" s="24"/>
      <c r="G22" s="26" t="s">
        <v>34</v>
      </c>
      <c r="H22" s="0" t="str">
        <f aca="false">" "</f>
        <v> </v>
      </c>
    </row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5"/>
  </cols>
  <sheetData>
    <row r="1" customFormat="false" ht="34.5" hidden="false" customHeight="true" outlineLevel="0" collapsed="false">
      <c r="A1" s="22" t="s">
        <v>107</v>
      </c>
      <c r="B1" s="22"/>
      <c r="C1" s="22"/>
      <c r="D1" s="22"/>
    </row>
    <row r="2" customFormat="false" ht="9.75" hidden="false" customHeight="true" outlineLevel="0" collapsed="false"/>
    <row r="3" customFormat="false" ht="24.75" hidden="false" customHeight="true" outlineLevel="0" collapsed="false">
      <c r="A3" s="23" t="s">
        <v>5</v>
      </c>
      <c r="B3" s="23" t="s">
        <v>6</v>
      </c>
      <c r="C3" s="23" t="s">
        <v>7</v>
      </c>
      <c r="D3" s="23" t="s">
        <v>12</v>
      </c>
    </row>
    <row r="4" customFormat="false" ht="19.5" hidden="false" customHeight="true" outlineLevel="0" collapsed="false">
      <c r="A4" s="24" t="n">
        <v>1</v>
      </c>
      <c r="B4" s="25" t="s">
        <v>108</v>
      </c>
      <c r="C4" s="27"/>
      <c r="D4" s="27"/>
    </row>
    <row r="5" customFormat="false" ht="19.5" hidden="false" customHeight="true" outlineLevel="0" collapsed="false">
      <c r="A5" s="24" t="n">
        <v>2</v>
      </c>
      <c r="B5" s="25" t="s">
        <v>109</v>
      </c>
      <c r="C5" s="27"/>
      <c r="D5" s="27"/>
    </row>
    <row r="6" customFormat="false" ht="19.5" hidden="false" customHeight="true" outlineLevel="0" collapsed="false">
      <c r="A6" s="24" t="n">
        <v>3</v>
      </c>
      <c r="B6" s="25" t="s">
        <v>110</v>
      </c>
      <c r="C6" s="27"/>
      <c r="D6" s="27"/>
    </row>
    <row r="7" customFormat="false" ht="19.5" hidden="false" customHeight="true" outlineLevel="0" collapsed="false">
      <c r="A7" s="24" t="n">
        <v>4</v>
      </c>
      <c r="B7" s="25" t="s">
        <v>111</v>
      </c>
      <c r="C7" s="27"/>
      <c r="D7" s="27"/>
    </row>
    <row r="8" customFormat="false" ht="19.5" hidden="false" customHeight="true" outlineLevel="0" collapsed="false">
      <c r="A8" s="24" t="n">
        <v>5</v>
      </c>
      <c r="B8" s="25" t="s">
        <v>112</v>
      </c>
      <c r="C8" s="27"/>
      <c r="D8" s="27"/>
    </row>
    <row r="9" customFormat="false" ht="19.5" hidden="false" customHeight="true" outlineLevel="0" collapsed="false">
      <c r="A9" s="24" t="n">
        <v>6</v>
      </c>
      <c r="B9" s="25" t="s">
        <v>113</v>
      </c>
      <c r="C9" s="27"/>
      <c r="D9" s="27"/>
    </row>
    <row r="10" customFormat="false" ht="19.5" hidden="false" customHeight="true" outlineLevel="0" collapsed="false">
      <c r="A10" s="24" t="n">
        <v>7</v>
      </c>
      <c r="B10" s="25" t="s">
        <v>114</v>
      </c>
      <c r="C10" s="27"/>
      <c r="D10" s="27"/>
    </row>
    <row r="11" customFormat="false" ht="19.5" hidden="false" customHeight="true" outlineLevel="0" collapsed="false">
      <c r="A11" s="24" t="n">
        <v>8</v>
      </c>
      <c r="B11" s="25" t="s">
        <v>115</v>
      </c>
      <c r="C11" s="27"/>
      <c r="D11" s="27"/>
    </row>
    <row r="12" customFormat="false" ht="19.5" hidden="false" customHeight="true" outlineLevel="0" collapsed="false">
      <c r="A12" s="24" t="n">
        <v>9</v>
      </c>
      <c r="B12" s="25" t="s">
        <v>116</v>
      </c>
      <c r="C12" s="27"/>
      <c r="D12" s="27"/>
    </row>
    <row r="13" customFormat="false" ht="19.5" hidden="false" customHeight="true" outlineLevel="0" collapsed="false">
      <c r="A13" s="24" t="n">
        <v>10</v>
      </c>
      <c r="B13" s="25" t="s">
        <v>117</v>
      </c>
      <c r="C13" s="27"/>
      <c r="D13" s="27"/>
    </row>
    <row r="14" customFormat="false" ht="19.5" hidden="false" customHeight="true" outlineLevel="0" collapsed="false">
      <c r="A14" s="24" t="n">
        <v>11</v>
      </c>
      <c r="B14" s="25" t="s">
        <v>118</v>
      </c>
      <c r="C14" s="27"/>
      <c r="D14" s="27"/>
    </row>
    <row r="15" customFormat="false" ht="19.5" hidden="false" customHeight="true" outlineLevel="0" collapsed="false">
      <c r="A15" s="24" t="n">
        <v>12</v>
      </c>
      <c r="B15" s="25" t="s">
        <v>119</v>
      </c>
      <c r="C15" s="27"/>
      <c r="D15" s="27"/>
    </row>
    <row r="16" customFormat="false" ht="19.5" hidden="false" customHeight="true" outlineLevel="0" collapsed="false">
      <c r="A16" s="24" t="n">
        <v>13</v>
      </c>
      <c r="B16" s="25" t="s">
        <v>120</v>
      </c>
      <c r="C16" s="27"/>
      <c r="D16" s="27"/>
    </row>
    <row r="17" customFormat="false" ht="19.5" hidden="false" customHeight="true" outlineLevel="0" collapsed="false">
      <c r="A17" s="24" t="n">
        <v>14</v>
      </c>
      <c r="B17" s="25" t="s">
        <v>121</v>
      </c>
      <c r="C17" s="27"/>
      <c r="D17" s="27"/>
    </row>
    <row r="18" customFormat="false" ht="19.5" hidden="false" customHeight="true" outlineLevel="0" collapsed="false">
      <c r="A18" s="24" t="n">
        <v>15</v>
      </c>
      <c r="B18" s="25" t="s">
        <v>122</v>
      </c>
      <c r="C18" s="27"/>
      <c r="D18" s="27"/>
    </row>
    <row r="19" customFormat="false" ht="19.5" hidden="false" customHeight="true" outlineLevel="0" collapsed="false">
      <c r="A19" s="24" t="n">
        <v>16</v>
      </c>
      <c r="B19" s="25" t="s">
        <v>123</v>
      </c>
      <c r="C19" s="27"/>
      <c r="D19" s="27"/>
    </row>
    <row r="20" customFormat="false" ht="19.5" hidden="false" customHeight="true" outlineLevel="0" collapsed="false">
      <c r="A20" s="24" t="n">
        <v>17</v>
      </c>
      <c r="B20" s="25" t="s">
        <v>124</v>
      </c>
      <c r="C20" s="27"/>
      <c r="D20" s="27"/>
    </row>
    <row r="21" customFormat="false" ht="19.5" hidden="false" customHeight="true" outlineLevel="0" collapsed="false">
      <c r="A21" s="24" t="n">
        <v>18</v>
      </c>
      <c r="B21" s="25" t="s">
        <v>125</v>
      </c>
      <c r="C21" s="27"/>
      <c r="D21" s="27"/>
    </row>
    <row r="22" customFormat="false" ht="19.5" hidden="false" customHeight="true" outlineLevel="0" collapsed="false">
      <c r="A22" s="24" t="n">
        <v>19</v>
      </c>
      <c r="B22" s="25" t="s">
        <v>126</v>
      </c>
      <c r="C22" s="27"/>
      <c r="D22" s="27"/>
    </row>
    <row r="23" customFormat="false" ht="19.5" hidden="false" customHeight="true" outlineLevel="0" collapsed="false">
      <c r="A23" s="24" t="n">
        <v>20</v>
      </c>
      <c r="B23" s="25" t="s">
        <v>127</v>
      </c>
      <c r="C23" s="27"/>
      <c r="D23" s="27"/>
    </row>
    <row r="24" customFormat="false" ht="19.5" hidden="false" customHeight="true" outlineLevel="0" collapsed="false">
      <c r="A24" s="24" t="n">
        <v>21</v>
      </c>
      <c r="B24" s="25" t="s">
        <v>128</v>
      </c>
      <c r="C24" s="27"/>
      <c r="D24" s="27"/>
    </row>
    <row r="25" customFormat="false" ht="19.5" hidden="false" customHeight="true" outlineLevel="0" collapsed="false">
      <c r="A25" s="24" t="n">
        <v>22</v>
      </c>
      <c r="B25" s="25" t="s">
        <v>129</v>
      </c>
      <c r="C25" s="27"/>
      <c r="D25" s="27"/>
    </row>
    <row r="26" customFormat="false" ht="19.5" hidden="false" customHeight="true" outlineLevel="0" collapsed="false">
      <c r="A26" s="24" t="n">
        <v>23</v>
      </c>
      <c r="B26" s="25" t="s">
        <v>130</v>
      </c>
      <c r="C26" s="27"/>
      <c r="D26" s="27"/>
    </row>
    <row r="27" customFormat="false" ht="19.5" hidden="false" customHeight="true" outlineLevel="0" collapsed="false">
      <c r="A27" s="24" t="n">
        <v>24</v>
      </c>
      <c r="B27" s="25" t="s">
        <v>131</v>
      </c>
      <c r="C27" s="27"/>
      <c r="D27" s="27"/>
    </row>
    <row r="28" customFormat="false" ht="19.5" hidden="false" customHeight="true" outlineLevel="0" collapsed="false">
      <c r="A28" s="24" t="n">
        <v>25</v>
      </c>
      <c r="B28" s="25" t="s">
        <v>132</v>
      </c>
      <c r="C28" s="27"/>
      <c r="D28" s="27"/>
    </row>
    <row r="29" customFormat="false" ht="19.5" hidden="false" customHeight="true" outlineLevel="0" collapsed="false">
      <c r="A29" s="24" t="n">
        <v>26</v>
      </c>
      <c r="B29" s="25" t="s">
        <v>133</v>
      </c>
      <c r="C29" s="27"/>
      <c r="D29" s="27"/>
    </row>
    <row r="30" customFormat="false" ht="19.5" hidden="false" customHeight="true" outlineLevel="0" collapsed="false">
      <c r="A30" s="24" t="n">
        <v>27</v>
      </c>
      <c r="B30" s="25" t="s">
        <v>134</v>
      </c>
      <c r="C30" s="27"/>
      <c r="D30" s="27"/>
    </row>
    <row r="31" customFormat="false" ht="19.5" hidden="false" customHeight="true" outlineLevel="0" collapsed="false">
      <c r="A31" s="24" t="n">
        <v>28</v>
      </c>
      <c r="B31" s="25" t="s">
        <v>135</v>
      </c>
      <c r="C31" s="27"/>
      <c r="D31" s="27"/>
    </row>
    <row r="32" customFormat="false" ht="19.5" hidden="false" customHeight="true" outlineLevel="0" collapsed="false">
      <c r="A32" s="24" t="n">
        <v>29</v>
      </c>
      <c r="B32" s="25" t="s">
        <v>136</v>
      </c>
      <c r="C32" s="27"/>
      <c r="D32" s="27"/>
    </row>
    <row r="33" customFormat="false" ht="19.5" hidden="false" customHeight="true" outlineLevel="0" collapsed="false">
      <c r="A33" s="24" t="n">
        <v>30</v>
      </c>
      <c r="B33" s="25" t="s">
        <v>137</v>
      </c>
      <c r="C33" s="27"/>
      <c r="D33" s="27"/>
    </row>
    <row r="34" customFormat="false" ht="19.5" hidden="false" customHeight="true" outlineLevel="0" collapsed="false">
      <c r="A34" s="24" t="n">
        <v>31</v>
      </c>
      <c r="B34" s="25" t="s">
        <v>138</v>
      </c>
      <c r="C34" s="27"/>
      <c r="D34" s="27"/>
    </row>
    <row r="35" customFormat="false" ht="19.5" hidden="false" customHeight="true" outlineLevel="0" collapsed="false">
      <c r="A35" s="24" t="n">
        <v>32</v>
      </c>
      <c r="B35" s="25" t="s">
        <v>139</v>
      </c>
      <c r="C35" s="27"/>
      <c r="D35" s="2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2026-01-28T20:07:07Z</dcterms:created>
  <dc:creator>openpyxl</dc:creator>
  <dc:description/>
  <dc:language>en-US</dc:language>
  <cp:lastModifiedBy>patrick payen</cp:lastModifiedBy>
  <cp:lastPrinted>2026-01-29T06:52:31Z</cp:lastPrinted>
  <dcterms:modified xsi:type="dcterms:W3CDTF">2026-01-29T06:57:07Z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